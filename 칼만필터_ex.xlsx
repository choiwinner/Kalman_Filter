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Kalman_Filter\"/>
    </mc:Choice>
  </mc:AlternateContent>
  <xr:revisionPtr revIDLastSave="0" documentId="8_{45DBA9DF-E0DA-4DA8-8B39-4C660EB3174A}" xr6:coauthVersionLast="47" xr6:coauthVersionMax="47" xr10:uidLastSave="{00000000-0000-0000-0000-000000000000}"/>
  <bookViews>
    <workbookView xWindow="-98" yWindow="-98" windowWidth="21795" windowHeight="12975" xr2:uid="{1D83DCE4-FA4F-4273-B006-597E1AD51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G5" i="1" s="1"/>
  <c r="H5" i="1" s="1"/>
  <c r="J5" i="1" s="1"/>
  <c r="C5" i="1"/>
  <c r="J4" i="1"/>
  <c r="I4" i="1"/>
  <c r="H4" i="1"/>
  <c r="G4" i="1"/>
  <c r="E4" i="1"/>
  <c r="C4" i="1"/>
  <c r="J3" i="1"/>
  <c r="I3" i="1"/>
  <c r="G3" i="1"/>
  <c r="H3" i="1" s="1"/>
  <c r="I5" i="1" l="1"/>
</calcChain>
</file>

<file path=xl/sharedStrings.xml><?xml version="1.0" encoding="utf-8"?>
<sst xmlns="http://schemas.openxmlformats.org/spreadsheetml/2006/main" count="9" uniqueCount="9">
  <si>
    <t>x_pred</t>
    <phoneticPr fontId="1" type="noConversion"/>
  </si>
  <si>
    <t>self.Q</t>
    <phoneticPr fontId="1" type="noConversion"/>
  </si>
  <si>
    <t>self.P</t>
    <phoneticPr fontId="1" type="noConversion"/>
  </si>
  <si>
    <t>P_pred</t>
    <phoneticPr fontId="1" type="noConversion"/>
  </si>
  <si>
    <t>K</t>
    <phoneticPr fontId="1" type="noConversion"/>
  </si>
  <si>
    <t>self.R</t>
    <phoneticPr fontId="1" type="noConversion"/>
  </si>
  <si>
    <t>self_x_est</t>
    <phoneticPr fontId="1" type="noConversion"/>
  </si>
  <si>
    <t>mesurement</t>
    <phoneticPr fontId="1" type="noConversion"/>
  </si>
  <si>
    <t>self.P_new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</si>
</sst>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812A-C2C5-46E1-8A15-B5E2847BBC2B}">
  <dimension ref="A2:J5"/>
  <sheetViews>
    <sheetView tabSelected="1" workbookViewId="0">
      <selection activeCell="B6" sqref="B6"/>
    </sheetView>
  </sheetViews>
  <sheetFormatPr defaultRowHeight="16.899999999999999" x14ac:dyDescent="0.6"/>
  <cols>
    <col min="2" max="2" width="11.5625" bestFit="1" customWidth="1"/>
    <col min="10" max="10" width="11.125" customWidth="1"/>
  </cols>
  <sheetData>
    <row r="2" spans="1:10" x14ac:dyDescent="0.6">
      <c r="B2" t="s">
        <v>7</v>
      </c>
      <c r="C2" t="s">
        <v>0</v>
      </c>
      <c r="D2" t="s">
        <v>1</v>
      </c>
      <c r="E2" t="s">
        <v>2</v>
      </c>
      <c r="F2" t="s">
        <v>5</v>
      </c>
      <c r="G2" t="s">
        <v>3</v>
      </c>
      <c r="H2" t="s">
        <v>4</v>
      </c>
      <c r="I2" t="s">
        <v>6</v>
      </c>
      <c r="J2" t="s">
        <v>8</v>
      </c>
    </row>
    <row r="3" spans="1:10" x14ac:dyDescent="0.6">
      <c r="A3">
        <v>1</v>
      </c>
      <c r="B3">
        <v>53.206000000000003</v>
      </c>
      <c r="C3">
        <v>50</v>
      </c>
      <c r="D3">
        <v>1E-3</v>
      </c>
      <c r="E3">
        <v>4</v>
      </c>
      <c r="F3">
        <v>4</v>
      </c>
      <c r="G3">
        <f>D3+E3</f>
        <v>4.0010000000000003</v>
      </c>
      <c r="H3">
        <f>G3/(G3+F3)</f>
        <v>0.50006249218847643</v>
      </c>
      <c r="I3">
        <f>C3+H3*(B3-C3)</f>
        <v>51.603200349956253</v>
      </c>
      <c r="J3">
        <f>(1-H3)*G3</f>
        <v>2.0002499687539061</v>
      </c>
    </row>
    <row r="4" spans="1:10" x14ac:dyDescent="0.6">
      <c r="A4">
        <v>2</v>
      </c>
      <c r="B4">
        <v>48.982999999999997</v>
      </c>
      <c r="C4">
        <f>I3</f>
        <v>51.603200349956253</v>
      </c>
      <c r="D4">
        <v>1E-3</v>
      </c>
      <c r="E4">
        <f>J3</f>
        <v>2.0002499687539061</v>
      </c>
      <c r="F4">
        <v>4</v>
      </c>
      <c r="G4">
        <f>D4+E4</f>
        <v>2.001249968753906</v>
      </c>
      <c r="H4">
        <f>G4/(G4+F4)</f>
        <v>0.33347218982272181</v>
      </c>
      <c r="I4">
        <f>C4+H4*(B4-C4)</f>
        <v>50.729436401482076</v>
      </c>
      <c r="J4">
        <f>(1-H4)*G4</f>
        <v>1.3338887592908875</v>
      </c>
    </row>
    <row r="5" spans="1:10" x14ac:dyDescent="0.6">
      <c r="A5">
        <v>3</v>
      </c>
      <c r="B5">
        <v>49.944000000000003</v>
      </c>
      <c r="C5">
        <f>I4</f>
        <v>50.729436401482076</v>
      </c>
      <c r="D5">
        <v>1E-3</v>
      </c>
      <c r="E5">
        <f>J4</f>
        <v>1.3338887592908875</v>
      </c>
      <c r="F5">
        <v>4</v>
      </c>
      <c r="G5">
        <f>D5+E5</f>
        <v>1.3348887592908874</v>
      </c>
      <c r="H5">
        <f>G5/(G5+F5)</f>
        <v>0.2502186680024272</v>
      </c>
      <c r="I5">
        <f>C5+H5*(B5-C5)</f>
        <v>50.532905551302612</v>
      </c>
      <c r="J5">
        <f>(1-H5)*G5</f>
        <v>1.0008746720097088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재일 최</dc:creator>
  <cp:lastModifiedBy>재일 최</cp:lastModifiedBy>
  <dcterms:created xsi:type="dcterms:W3CDTF">2026-06-14T12:12:09Z</dcterms:created>
  <dcterms:modified xsi:type="dcterms:W3CDTF">2026-06-14T12:30:27Z</dcterms:modified>
</cp:coreProperties>
</file>